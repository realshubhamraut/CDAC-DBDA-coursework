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CDC52C28-2E1A-4C76-A1EE-CE907D30630A}" xr6:coauthVersionLast="47" xr6:coauthVersionMax="47" xr10:uidLastSave="{00000000-0000-0000-0000-000000000000}"/>
  <bookViews>
    <workbookView xWindow="-108" yWindow="-108" windowWidth="23256" windowHeight="12456" activeTab="1" xr2:uid="{790EC4C7-9592-45C6-B729-56D738E523FA}"/>
  </bookViews>
  <sheets>
    <sheet name="Continuous" sheetId="1" r:id="rId1"/>
    <sheet name="Categor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5" i="2" l="1"/>
  <c r="H84" i="2"/>
  <c r="H83" i="2"/>
  <c r="H82" i="2"/>
  <c r="H81" i="2"/>
  <c r="H80" i="2"/>
  <c r="H79" i="2"/>
  <c r="H78" i="2"/>
  <c r="G85" i="2"/>
  <c r="G84" i="2"/>
  <c r="G83" i="2"/>
  <c r="G82" i="2"/>
  <c r="G81" i="2"/>
  <c r="G80" i="2"/>
  <c r="G79" i="2"/>
  <c r="G78" i="2"/>
  <c r="E85" i="2"/>
  <c r="F85" i="2" s="1"/>
  <c r="C85" i="2"/>
  <c r="D85" i="2" s="1"/>
  <c r="E84" i="2"/>
  <c r="F84" i="2" s="1"/>
  <c r="C84" i="2"/>
  <c r="D84" i="2" s="1"/>
  <c r="E83" i="2"/>
  <c r="F83" i="2" s="1"/>
  <c r="C83" i="2"/>
  <c r="D83" i="2" s="1"/>
  <c r="E82" i="2"/>
  <c r="F82" i="2" s="1"/>
  <c r="C82" i="2"/>
  <c r="D82" i="2" s="1"/>
  <c r="E81" i="2"/>
  <c r="F81" i="2" s="1"/>
  <c r="C81" i="2"/>
  <c r="D81" i="2" s="1"/>
  <c r="E80" i="2"/>
  <c r="F80" i="2" s="1"/>
  <c r="C80" i="2"/>
  <c r="D80" i="2" s="1"/>
  <c r="E79" i="2"/>
  <c r="F79" i="2" s="1"/>
  <c r="C79" i="2"/>
  <c r="D79" i="2" s="1"/>
  <c r="E78" i="2"/>
  <c r="F78" i="2" s="1"/>
  <c r="C78" i="2"/>
  <c r="D78" i="2" s="1"/>
  <c r="A75" i="2"/>
  <c r="A73" i="2"/>
  <c r="A70" i="2"/>
  <c r="A68" i="2"/>
  <c r="B65" i="2"/>
  <c r="A65" i="2"/>
  <c r="F56" i="2"/>
  <c r="F55" i="2"/>
  <c r="F54" i="2"/>
  <c r="F53" i="2"/>
  <c r="F52" i="2"/>
  <c r="F51" i="2"/>
  <c r="F50" i="2"/>
  <c r="F49" i="2"/>
  <c r="E56" i="2"/>
  <c r="E55" i="2"/>
  <c r="E54" i="2"/>
  <c r="E53" i="2"/>
  <c r="E52" i="2"/>
  <c r="E51" i="2"/>
  <c r="E50" i="2"/>
  <c r="E49" i="2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A46" i="2"/>
  <c r="A44" i="2"/>
  <c r="A39" i="2"/>
  <c r="B42" i="1"/>
  <c r="A41" i="2"/>
  <c r="B36" i="2"/>
  <c r="A36" i="2"/>
  <c r="B35" i="2"/>
  <c r="A35" i="2"/>
  <c r="B27" i="2"/>
  <c r="D18" i="2"/>
  <c r="D19" i="2"/>
  <c r="D20" i="2"/>
  <c r="D21" i="2"/>
  <c r="D22" i="2"/>
  <c r="D23" i="2"/>
  <c r="D24" i="2"/>
  <c r="D17" i="2"/>
  <c r="C18" i="2"/>
  <c r="C19" i="2"/>
  <c r="C20" i="2"/>
  <c r="C21" i="2"/>
  <c r="C22" i="2"/>
  <c r="C23" i="2"/>
  <c r="C24" i="2"/>
  <c r="C17" i="2"/>
  <c r="F14" i="2"/>
  <c r="F12" i="2"/>
  <c r="F11" i="2"/>
  <c r="F13" i="2"/>
  <c r="B67" i="1"/>
  <c r="B66" i="1"/>
  <c r="G73" i="1" s="1"/>
  <c r="H73" i="1" s="1"/>
  <c r="H79" i="1"/>
  <c r="H78" i="1"/>
  <c r="H77" i="1"/>
  <c r="H76" i="1"/>
  <c r="H75" i="1"/>
  <c r="G79" i="1"/>
  <c r="G78" i="1"/>
  <c r="G77" i="1"/>
  <c r="G76" i="1"/>
  <c r="G75" i="1"/>
  <c r="G74" i="1"/>
  <c r="H74" i="1" s="1"/>
  <c r="E79" i="1"/>
  <c r="F79" i="1" s="1"/>
  <c r="C79" i="1"/>
  <c r="D79" i="1" s="1"/>
  <c r="E78" i="1"/>
  <c r="F78" i="1" s="1"/>
  <c r="C78" i="1"/>
  <c r="D78" i="1" s="1"/>
  <c r="E77" i="1"/>
  <c r="F77" i="1" s="1"/>
  <c r="C77" i="1"/>
  <c r="D77" i="1" s="1"/>
  <c r="E76" i="1"/>
  <c r="F76" i="1" s="1"/>
  <c r="C76" i="1"/>
  <c r="D76" i="1" s="1"/>
  <c r="E75" i="1"/>
  <c r="F75" i="1" s="1"/>
  <c r="C75" i="1"/>
  <c r="D75" i="1" s="1"/>
  <c r="E74" i="1"/>
  <c r="F74" i="1" s="1"/>
  <c r="C74" i="1"/>
  <c r="D74" i="1" s="1"/>
  <c r="E73" i="1"/>
  <c r="F73" i="1" s="1"/>
  <c r="C73" i="1"/>
  <c r="D73" i="1" s="1"/>
  <c r="E72" i="1"/>
  <c r="F72" i="1" s="1"/>
  <c r="C72" i="1"/>
  <c r="D72" i="1" s="1"/>
  <c r="E71" i="1"/>
  <c r="F71" i="1" s="1"/>
  <c r="C71" i="1"/>
  <c r="D71" i="1" s="1"/>
  <c r="E70" i="1"/>
  <c r="F70" i="1" s="1"/>
  <c r="D70" i="1"/>
  <c r="B63" i="1"/>
  <c r="A63" i="1"/>
  <c r="B38" i="1"/>
  <c r="D16" i="1"/>
  <c r="C11" i="1"/>
  <c r="F49" i="1"/>
  <c r="D46" i="1"/>
  <c r="E55" i="1"/>
  <c r="F55" i="1" s="1"/>
  <c r="E54" i="1"/>
  <c r="F54" i="1" s="1"/>
  <c r="E53" i="1"/>
  <c r="F53" i="1" s="1"/>
  <c r="E52" i="1"/>
  <c r="F52" i="1" s="1"/>
  <c r="E49" i="1"/>
  <c r="E48" i="1"/>
  <c r="F48" i="1" s="1"/>
  <c r="E47" i="1"/>
  <c r="F47" i="1" s="1"/>
  <c r="E46" i="1"/>
  <c r="F4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D49" i="1"/>
  <c r="C49" i="1"/>
  <c r="C48" i="1"/>
  <c r="D48" i="1" s="1"/>
  <c r="C47" i="1"/>
  <c r="D47" i="1" s="1"/>
  <c r="B43" i="1"/>
  <c r="E51" i="1" s="1"/>
  <c r="F51" i="1" s="1"/>
  <c r="E50" i="1"/>
  <c r="F50" i="1" s="1"/>
  <c r="B39" i="1"/>
  <c r="D23" i="1"/>
  <c r="D22" i="1"/>
  <c r="D21" i="1"/>
  <c r="C25" i="1"/>
  <c r="D25" i="1" s="1"/>
  <c r="C24" i="1"/>
  <c r="D24" i="1" s="1"/>
  <c r="C23" i="1"/>
  <c r="C22" i="1"/>
  <c r="C21" i="1"/>
  <c r="C20" i="1"/>
  <c r="D20" i="1" s="1"/>
  <c r="C19" i="1"/>
  <c r="D19" i="1" s="1"/>
  <c r="C18" i="1"/>
  <c r="D18" i="1" s="1"/>
  <c r="C17" i="1"/>
  <c r="D17" i="1" s="1"/>
  <c r="C46" i="2"/>
  <c r="C44" i="2"/>
  <c r="C39" i="2"/>
  <c r="K36" i="2"/>
  <c r="I14" i="2"/>
  <c r="I13" i="2"/>
  <c r="I12" i="2"/>
  <c r="I11" i="2"/>
  <c r="D43" i="1"/>
  <c r="D42" i="1"/>
  <c r="G70" i="1" l="1"/>
  <c r="H70" i="1" s="1"/>
  <c r="G71" i="1"/>
  <c r="H71" i="1" s="1"/>
  <c r="G72" i="1"/>
  <c r="H72" i="1" s="1"/>
</calcChain>
</file>

<file path=xl/sharedStrings.xml><?xml version="1.0" encoding="utf-8"?>
<sst xmlns="http://schemas.openxmlformats.org/spreadsheetml/2006/main" count="88" uniqueCount="50">
  <si>
    <t>x</t>
  </si>
  <si>
    <t>y</t>
  </si>
  <si>
    <t>Step#1</t>
  </si>
  <si>
    <t>Calculate the base prediction which normally is close by to the mean of all responses. In the present data, the average is 13.4</t>
  </si>
  <si>
    <t>BasePred</t>
  </si>
  <si>
    <t>Resid1</t>
  </si>
  <si>
    <t>Step#2</t>
  </si>
  <si>
    <t>Identify the best criteria for splitting the parent node into the child nodes. In this case ASSUME that the split is x&lt;=5</t>
  </si>
  <si>
    <t>Left Node</t>
  </si>
  <si>
    <t>Right Node</t>
  </si>
  <si>
    <t>Step#3</t>
  </si>
  <si>
    <t>Calculate the average residuals for left and right nodes</t>
  </si>
  <si>
    <t>Left node</t>
  </si>
  <si>
    <t>Right node</t>
  </si>
  <si>
    <t>Step#4</t>
  </si>
  <si>
    <t>Calculate the new predicted values</t>
  </si>
  <si>
    <t>Left</t>
  </si>
  <si>
    <t>Right</t>
  </si>
  <si>
    <t>Pred1</t>
  </si>
  <si>
    <t>Resid2</t>
  </si>
  <si>
    <t>LeftNode</t>
  </si>
  <si>
    <t>RightNode</t>
  </si>
  <si>
    <t>Average</t>
  </si>
  <si>
    <t>NewPredictions</t>
  </si>
  <si>
    <t>Pred2</t>
  </si>
  <si>
    <t>Resid3</t>
  </si>
  <si>
    <t>Step#1 Calculate the base probability</t>
  </si>
  <si>
    <t>3/8</t>
  </si>
  <si>
    <t>(p)</t>
  </si>
  <si>
    <t>(1-p)</t>
  </si>
  <si>
    <t>Odds ratio</t>
  </si>
  <si>
    <t>Log of odds ratio</t>
  </si>
  <si>
    <t>BaseProb</t>
  </si>
  <si>
    <t>Hessian = p*(1-p)</t>
  </si>
  <si>
    <t>Hessian</t>
  </si>
  <si>
    <t>Considering the first split as x&lt;=4</t>
  </si>
  <si>
    <t>Residuals are the first derivative. Hessian is the second derivative for the loss function</t>
  </si>
  <si>
    <t>Total residuals</t>
  </si>
  <si>
    <t>NewtonLeafValue</t>
  </si>
  <si>
    <t>Sum of residuals/(Number of values in node * Hessian)</t>
  </si>
  <si>
    <t>New logit for the left node</t>
  </si>
  <si>
    <t>F14 is the originial logit which in this example is -0.51082</t>
  </si>
  <si>
    <t>New logit for the right node</t>
  </si>
  <si>
    <t>New probability for the left node</t>
  </si>
  <si>
    <t>New probability for the right node</t>
  </si>
  <si>
    <t>Prob1</t>
  </si>
  <si>
    <t>Considering the same split for the second iteration</t>
  </si>
  <si>
    <t>NewProb for the left node</t>
  </si>
  <si>
    <t>NewProb for the right node</t>
  </si>
  <si>
    <t>Prob2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</si>
</sst>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0AC9-48DC-43D1-B330-C0F66B8C5D0C}">
  <dimension ref="A1:H79"/>
  <sheetViews>
    <sheetView zoomScale="150" zoomScaleNormal="130" workbookViewId="0">
      <selection activeCell="C11" sqref="C11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>
        <v>1</v>
      </c>
      <c r="B2">
        <v>5</v>
      </c>
    </row>
    <row r="3" spans="1:4" x14ac:dyDescent="0.3">
      <c r="A3">
        <v>2</v>
      </c>
      <c r="B3">
        <v>6</v>
      </c>
    </row>
    <row r="4" spans="1:4" x14ac:dyDescent="0.3">
      <c r="A4">
        <v>3</v>
      </c>
      <c r="B4">
        <v>7</v>
      </c>
    </row>
    <row r="5" spans="1:4" x14ac:dyDescent="0.3">
      <c r="A5">
        <v>4</v>
      </c>
      <c r="B5">
        <v>9</v>
      </c>
    </row>
    <row r="6" spans="1:4" x14ac:dyDescent="0.3">
      <c r="A6">
        <v>5</v>
      </c>
      <c r="B6">
        <v>10</v>
      </c>
    </row>
    <row r="7" spans="1:4" x14ac:dyDescent="0.3">
      <c r="A7">
        <v>6</v>
      </c>
      <c r="B7">
        <v>14</v>
      </c>
    </row>
    <row r="8" spans="1:4" x14ac:dyDescent="0.3">
      <c r="A8">
        <v>7</v>
      </c>
      <c r="B8">
        <v>16</v>
      </c>
    </row>
    <row r="9" spans="1:4" x14ac:dyDescent="0.3">
      <c r="A9">
        <v>8</v>
      </c>
      <c r="B9">
        <v>19</v>
      </c>
    </row>
    <row r="10" spans="1:4" x14ac:dyDescent="0.3">
      <c r="A10">
        <v>9</v>
      </c>
      <c r="B10">
        <v>23</v>
      </c>
    </row>
    <row r="11" spans="1:4" x14ac:dyDescent="0.3">
      <c r="A11">
        <v>10</v>
      </c>
      <c r="B11">
        <v>25</v>
      </c>
      <c r="C11">
        <f>AVERAGE(B2:B11)</f>
        <v>13.4</v>
      </c>
    </row>
    <row r="13" spans="1:4" x14ac:dyDescent="0.3">
      <c r="A13" t="s">
        <v>2</v>
      </c>
      <c r="B13" t="s">
        <v>3</v>
      </c>
    </row>
    <row r="15" spans="1:4" x14ac:dyDescent="0.3">
      <c r="A15" t="s">
        <v>0</v>
      </c>
      <c r="B15" t="s">
        <v>1</v>
      </c>
      <c r="C15" t="s">
        <v>4</v>
      </c>
      <c r="D15" t="s">
        <v>5</v>
      </c>
    </row>
    <row r="16" spans="1:4" x14ac:dyDescent="0.3">
      <c r="A16">
        <v>1</v>
      </c>
      <c r="B16">
        <v>5</v>
      </c>
      <c r="C16">
        <v>13.4</v>
      </c>
      <c r="D16">
        <f>B16-C16</f>
        <v>-8.4</v>
      </c>
    </row>
    <row r="17" spans="1:4" x14ac:dyDescent="0.3">
      <c r="A17">
        <v>2</v>
      </c>
      <c r="B17">
        <v>6</v>
      </c>
      <c r="C17">
        <f>$C$16</f>
        <v>13.4</v>
      </c>
      <c r="D17">
        <f t="shared" ref="D17:D25" si="0">B17-C17</f>
        <v>-7.4</v>
      </c>
    </row>
    <row r="18" spans="1:4" x14ac:dyDescent="0.3">
      <c r="A18">
        <v>3</v>
      </c>
      <c r="B18">
        <v>7</v>
      </c>
      <c r="C18">
        <f t="shared" ref="C18:C25" si="1">$C$16</f>
        <v>13.4</v>
      </c>
      <c r="D18">
        <f t="shared" si="0"/>
        <v>-6.4</v>
      </c>
    </row>
    <row r="19" spans="1:4" x14ac:dyDescent="0.3">
      <c r="A19">
        <v>4</v>
      </c>
      <c r="B19">
        <v>9</v>
      </c>
      <c r="C19">
        <f t="shared" si="1"/>
        <v>13.4</v>
      </c>
      <c r="D19">
        <f t="shared" si="0"/>
        <v>-4.4000000000000004</v>
      </c>
    </row>
    <row r="20" spans="1:4" x14ac:dyDescent="0.3">
      <c r="A20">
        <v>5</v>
      </c>
      <c r="B20">
        <v>10</v>
      </c>
      <c r="C20">
        <f t="shared" si="1"/>
        <v>13.4</v>
      </c>
      <c r="D20">
        <f t="shared" si="0"/>
        <v>-3.4000000000000004</v>
      </c>
    </row>
    <row r="21" spans="1:4" x14ac:dyDescent="0.3">
      <c r="A21">
        <v>6</v>
      </c>
      <c r="B21">
        <v>14</v>
      </c>
      <c r="C21">
        <f t="shared" si="1"/>
        <v>13.4</v>
      </c>
      <c r="D21">
        <f t="shared" si="0"/>
        <v>0.59999999999999964</v>
      </c>
    </row>
    <row r="22" spans="1:4" x14ac:dyDescent="0.3">
      <c r="A22">
        <v>7</v>
      </c>
      <c r="B22">
        <v>16</v>
      </c>
      <c r="C22">
        <f t="shared" si="1"/>
        <v>13.4</v>
      </c>
      <c r="D22">
        <f t="shared" si="0"/>
        <v>2.5999999999999996</v>
      </c>
    </row>
    <row r="23" spans="1:4" x14ac:dyDescent="0.3">
      <c r="A23">
        <v>8</v>
      </c>
      <c r="B23">
        <v>19</v>
      </c>
      <c r="C23">
        <f t="shared" si="1"/>
        <v>13.4</v>
      </c>
      <c r="D23">
        <f t="shared" si="0"/>
        <v>5.6</v>
      </c>
    </row>
    <row r="24" spans="1:4" x14ac:dyDescent="0.3">
      <c r="A24">
        <v>9</v>
      </c>
      <c r="B24">
        <v>23</v>
      </c>
      <c r="C24">
        <f t="shared" si="1"/>
        <v>13.4</v>
      </c>
      <c r="D24">
        <f t="shared" si="0"/>
        <v>9.6</v>
      </c>
    </row>
    <row r="25" spans="1:4" x14ac:dyDescent="0.3">
      <c r="A25">
        <v>10</v>
      </c>
      <c r="B25">
        <v>25</v>
      </c>
      <c r="C25">
        <f t="shared" si="1"/>
        <v>13.4</v>
      </c>
      <c r="D25">
        <f t="shared" si="0"/>
        <v>11.6</v>
      </c>
    </row>
    <row r="27" spans="1:4" x14ac:dyDescent="0.3">
      <c r="A27" t="s">
        <v>6</v>
      </c>
      <c r="B27" t="s">
        <v>7</v>
      </c>
    </row>
    <row r="29" spans="1:4" x14ac:dyDescent="0.3">
      <c r="A29" t="s">
        <v>8</v>
      </c>
      <c r="B29" t="s">
        <v>9</v>
      </c>
    </row>
    <row r="30" spans="1:4" x14ac:dyDescent="0.3">
      <c r="A30">
        <v>-8.4</v>
      </c>
      <c r="B30">
        <v>0.59999999999999964</v>
      </c>
    </row>
    <row r="31" spans="1:4" x14ac:dyDescent="0.3">
      <c r="A31">
        <v>-7.4</v>
      </c>
      <c r="B31">
        <v>2.5999999999999996</v>
      </c>
    </row>
    <row r="32" spans="1:4" x14ac:dyDescent="0.3">
      <c r="A32">
        <v>-6.4</v>
      </c>
      <c r="B32">
        <v>5.6</v>
      </c>
    </row>
    <row r="33" spans="1:6" x14ac:dyDescent="0.3">
      <c r="A33">
        <v>-4.4000000000000004</v>
      </c>
      <c r="B33">
        <v>9.6</v>
      </c>
    </row>
    <row r="34" spans="1:6" x14ac:dyDescent="0.3">
      <c r="A34">
        <v>-3.4000000000000004</v>
      </c>
      <c r="B34">
        <v>11.6</v>
      </c>
    </row>
    <row r="36" spans="1:6" x14ac:dyDescent="0.3">
      <c r="A36" t="s">
        <v>10</v>
      </c>
      <c r="B36" t="s">
        <v>11</v>
      </c>
    </row>
    <row r="38" spans="1:6" x14ac:dyDescent="0.3">
      <c r="A38" t="s">
        <v>12</v>
      </c>
      <c r="B38">
        <f>AVERAGE(A30:A34)</f>
        <v>-6</v>
      </c>
    </row>
    <row r="39" spans="1:6" x14ac:dyDescent="0.3">
      <c r="A39" t="s">
        <v>13</v>
      </c>
      <c r="B39">
        <f>AVERAGE(B30:B34)</f>
        <v>6</v>
      </c>
    </row>
    <row r="41" spans="1:6" x14ac:dyDescent="0.3">
      <c r="A41" t="s">
        <v>14</v>
      </c>
      <c r="B41" t="s">
        <v>15</v>
      </c>
    </row>
    <row r="42" spans="1:6" x14ac:dyDescent="0.3">
      <c r="A42" t="s">
        <v>16</v>
      </c>
      <c r="B42">
        <f>C11 + 0.1*B38</f>
        <v>12.8</v>
      </c>
      <c r="D42" t="str">
        <f ca="1">_xlfn.FORMULATEXT(B42)</f>
        <v>=C11 + 0.1*B38</v>
      </c>
    </row>
    <row r="43" spans="1:6" x14ac:dyDescent="0.3">
      <c r="A43" t="s">
        <v>17</v>
      </c>
      <c r="B43">
        <f>C11 + 0.1*B39</f>
        <v>14</v>
      </c>
      <c r="D43" t="str">
        <f ca="1">_xlfn.FORMULATEXT(B43)</f>
        <v>=C11 + 0.1*B39</v>
      </c>
    </row>
    <row r="45" spans="1:6" x14ac:dyDescent="0.3">
      <c r="A45" t="s">
        <v>0</v>
      </c>
      <c r="B45" t="s">
        <v>1</v>
      </c>
      <c r="C45" t="s">
        <v>4</v>
      </c>
      <c r="D45" t="s">
        <v>5</v>
      </c>
      <c r="E45" t="s">
        <v>18</v>
      </c>
      <c r="F45" t="s">
        <v>19</v>
      </c>
    </row>
    <row r="46" spans="1:6" x14ac:dyDescent="0.3">
      <c r="A46">
        <v>1</v>
      </c>
      <c r="B46">
        <v>5</v>
      </c>
      <c r="C46">
        <v>13.4</v>
      </c>
      <c r="D46">
        <f>B46-C46</f>
        <v>-8.4</v>
      </c>
      <c r="E46">
        <f>$B$42</f>
        <v>12.8</v>
      </c>
      <c r="F46">
        <f>B46-E46</f>
        <v>-7.8000000000000007</v>
      </c>
    </row>
    <row r="47" spans="1:6" x14ac:dyDescent="0.3">
      <c r="A47">
        <v>2</v>
      </c>
      <c r="B47">
        <v>6</v>
      </c>
      <c r="C47">
        <f>$C$16</f>
        <v>13.4</v>
      </c>
      <c r="D47">
        <f t="shared" ref="D47:D55" si="2">B47-C47</f>
        <v>-7.4</v>
      </c>
      <c r="E47">
        <f t="shared" ref="E47:E50" si="3">$B$42</f>
        <v>12.8</v>
      </c>
      <c r="F47">
        <f t="shared" ref="F47:F55" si="4">B47-E47</f>
        <v>-6.8000000000000007</v>
      </c>
    </row>
    <row r="48" spans="1:6" x14ac:dyDescent="0.3">
      <c r="A48">
        <v>3</v>
      </c>
      <c r="B48">
        <v>7</v>
      </c>
      <c r="C48">
        <f t="shared" ref="C48:C55" si="5">$C$16</f>
        <v>13.4</v>
      </c>
      <c r="D48">
        <f t="shared" si="2"/>
        <v>-6.4</v>
      </c>
      <c r="E48">
        <f t="shared" si="3"/>
        <v>12.8</v>
      </c>
      <c r="F48">
        <f t="shared" si="4"/>
        <v>-5.8000000000000007</v>
      </c>
    </row>
    <row r="49" spans="1:6" x14ac:dyDescent="0.3">
      <c r="A49">
        <v>4</v>
      </c>
      <c r="B49">
        <v>9</v>
      </c>
      <c r="C49">
        <f t="shared" si="5"/>
        <v>13.4</v>
      </c>
      <c r="D49">
        <f t="shared" si="2"/>
        <v>-4.4000000000000004</v>
      </c>
      <c r="E49">
        <f t="shared" si="3"/>
        <v>12.8</v>
      </c>
      <c r="F49">
        <f t="shared" si="4"/>
        <v>-3.8000000000000007</v>
      </c>
    </row>
    <row r="50" spans="1:6" x14ac:dyDescent="0.3">
      <c r="A50">
        <v>5</v>
      </c>
      <c r="B50">
        <v>10</v>
      </c>
      <c r="C50">
        <f t="shared" si="5"/>
        <v>13.4</v>
      </c>
      <c r="D50">
        <f t="shared" si="2"/>
        <v>-3.4000000000000004</v>
      </c>
      <c r="E50">
        <f t="shared" si="3"/>
        <v>12.8</v>
      </c>
      <c r="F50">
        <f t="shared" si="4"/>
        <v>-2.8000000000000007</v>
      </c>
    </row>
    <row r="51" spans="1:6" x14ac:dyDescent="0.3">
      <c r="A51">
        <v>6</v>
      </c>
      <c r="B51">
        <v>14</v>
      </c>
      <c r="C51">
        <f t="shared" si="5"/>
        <v>13.4</v>
      </c>
      <c r="D51">
        <f t="shared" si="2"/>
        <v>0.59999999999999964</v>
      </c>
      <c r="E51">
        <f>$B$43</f>
        <v>14</v>
      </c>
      <c r="F51">
        <f t="shared" si="4"/>
        <v>0</v>
      </c>
    </row>
    <row r="52" spans="1:6" x14ac:dyDescent="0.3">
      <c r="A52">
        <v>7</v>
      </c>
      <c r="B52">
        <v>16</v>
      </c>
      <c r="C52">
        <f t="shared" si="5"/>
        <v>13.4</v>
      </c>
      <c r="D52">
        <f t="shared" si="2"/>
        <v>2.5999999999999996</v>
      </c>
      <c r="E52">
        <f t="shared" ref="E52:E55" si="6">$B$43</f>
        <v>14</v>
      </c>
      <c r="F52">
        <f t="shared" si="4"/>
        <v>2</v>
      </c>
    </row>
    <row r="53" spans="1:6" x14ac:dyDescent="0.3">
      <c r="A53">
        <v>8</v>
      </c>
      <c r="B53">
        <v>19</v>
      </c>
      <c r="C53">
        <f t="shared" si="5"/>
        <v>13.4</v>
      </c>
      <c r="D53">
        <f t="shared" si="2"/>
        <v>5.6</v>
      </c>
      <c r="E53">
        <f t="shared" si="6"/>
        <v>14</v>
      </c>
      <c r="F53">
        <f t="shared" si="4"/>
        <v>5</v>
      </c>
    </row>
    <row r="54" spans="1:6" x14ac:dyDescent="0.3">
      <c r="A54">
        <v>9</v>
      </c>
      <c r="B54">
        <v>23</v>
      </c>
      <c r="C54">
        <f t="shared" si="5"/>
        <v>13.4</v>
      </c>
      <c r="D54">
        <f t="shared" si="2"/>
        <v>9.6</v>
      </c>
      <c r="E54">
        <f t="shared" si="6"/>
        <v>14</v>
      </c>
      <c r="F54">
        <f t="shared" si="4"/>
        <v>9</v>
      </c>
    </row>
    <row r="55" spans="1:6" x14ac:dyDescent="0.3">
      <c r="A55">
        <v>10</v>
      </c>
      <c r="B55">
        <v>25</v>
      </c>
      <c r="C55">
        <f t="shared" si="5"/>
        <v>13.4</v>
      </c>
      <c r="D55">
        <f t="shared" si="2"/>
        <v>11.6</v>
      </c>
      <c r="E55">
        <f t="shared" si="6"/>
        <v>14</v>
      </c>
      <c r="F55">
        <f t="shared" si="4"/>
        <v>11</v>
      </c>
    </row>
    <row r="57" spans="1:6" x14ac:dyDescent="0.3">
      <c r="A57" t="s">
        <v>20</v>
      </c>
      <c r="B57" t="s">
        <v>21</v>
      </c>
    </row>
    <row r="58" spans="1:6" x14ac:dyDescent="0.3">
      <c r="A58">
        <v>-7.8000000000000007</v>
      </c>
      <c r="B58">
        <v>0</v>
      </c>
    </row>
    <row r="59" spans="1:6" x14ac:dyDescent="0.3">
      <c r="A59">
        <v>-6.8000000000000007</v>
      </c>
      <c r="B59">
        <v>2</v>
      </c>
    </row>
    <row r="60" spans="1:6" x14ac:dyDescent="0.3">
      <c r="A60">
        <v>-5.8000000000000007</v>
      </c>
      <c r="B60">
        <v>5</v>
      </c>
    </row>
    <row r="61" spans="1:6" x14ac:dyDescent="0.3">
      <c r="A61">
        <v>-3.8000000000000007</v>
      </c>
      <c r="B61">
        <v>9</v>
      </c>
    </row>
    <row r="62" spans="1:6" x14ac:dyDescent="0.3">
      <c r="A62">
        <v>-2.8000000000000007</v>
      </c>
      <c r="B62">
        <v>11</v>
      </c>
    </row>
    <row r="63" spans="1:6" x14ac:dyDescent="0.3">
      <c r="A63">
        <f>AVERAGE(A58:A62)</f>
        <v>-5.4</v>
      </c>
      <c r="B63">
        <f>AVERAGE(B58:B62)</f>
        <v>5.4</v>
      </c>
      <c r="C63" t="s">
        <v>22</v>
      </c>
    </row>
    <row r="65" spans="1:8" x14ac:dyDescent="0.3">
      <c r="A65" t="s">
        <v>23</v>
      </c>
    </row>
    <row r="66" spans="1:8" x14ac:dyDescent="0.3">
      <c r="A66" t="s">
        <v>16</v>
      </c>
      <c r="B66">
        <f>B42+0.1*A63</f>
        <v>12.260000000000002</v>
      </c>
    </row>
    <row r="67" spans="1:8" x14ac:dyDescent="0.3">
      <c r="A67" t="s">
        <v>17</v>
      </c>
      <c r="B67">
        <f>B43+0.1*B63</f>
        <v>14.54</v>
      </c>
    </row>
    <row r="69" spans="1:8" x14ac:dyDescent="0.3">
      <c r="A69" t="s">
        <v>0</v>
      </c>
      <c r="B69" t="s">
        <v>1</v>
      </c>
      <c r="C69" t="s">
        <v>4</v>
      </c>
      <c r="D69" s="1" t="s">
        <v>5</v>
      </c>
      <c r="E69" t="s">
        <v>18</v>
      </c>
      <c r="F69" s="1" t="s">
        <v>19</v>
      </c>
      <c r="G69" t="s">
        <v>24</v>
      </c>
      <c r="H69" s="1" t="s">
        <v>25</v>
      </c>
    </row>
    <row r="70" spans="1:8" x14ac:dyDescent="0.3">
      <c r="A70">
        <v>1</v>
      </c>
      <c r="B70">
        <v>5</v>
      </c>
      <c r="C70">
        <v>13.4</v>
      </c>
      <c r="D70" s="1">
        <f>B70-C70</f>
        <v>-8.4</v>
      </c>
      <c r="E70">
        <f>$B$42</f>
        <v>12.8</v>
      </c>
      <c r="F70" s="1">
        <f>B70-E70</f>
        <v>-7.8000000000000007</v>
      </c>
      <c r="G70">
        <f>$B$66</f>
        <v>12.260000000000002</v>
      </c>
      <c r="H70" s="1">
        <f>B70-G70</f>
        <v>-7.2600000000000016</v>
      </c>
    </row>
    <row r="71" spans="1:8" x14ac:dyDescent="0.3">
      <c r="A71">
        <v>2</v>
      </c>
      <c r="B71">
        <v>6</v>
      </c>
      <c r="C71">
        <f>$C$16</f>
        <v>13.4</v>
      </c>
      <c r="D71" s="1">
        <f t="shared" ref="D71:D79" si="7">B71-C71</f>
        <v>-7.4</v>
      </c>
      <c r="E71">
        <f t="shared" ref="E71:E74" si="8">$B$42</f>
        <v>12.8</v>
      </c>
      <c r="F71" s="1">
        <f t="shared" ref="F71:F79" si="9">B71-E71</f>
        <v>-6.8000000000000007</v>
      </c>
      <c r="G71">
        <f t="shared" ref="G71:G74" si="10">$B$66</f>
        <v>12.260000000000002</v>
      </c>
      <c r="H71" s="1">
        <f t="shared" ref="H71:H79" si="11">B71-G71</f>
        <v>-6.2600000000000016</v>
      </c>
    </row>
    <row r="72" spans="1:8" x14ac:dyDescent="0.3">
      <c r="A72">
        <v>3</v>
      </c>
      <c r="B72">
        <v>7</v>
      </c>
      <c r="C72">
        <f t="shared" ref="C72:C79" si="12">$C$16</f>
        <v>13.4</v>
      </c>
      <c r="D72" s="1">
        <f t="shared" si="7"/>
        <v>-6.4</v>
      </c>
      <c r="E72">
        <f t="shared" si="8"/>
        <v>12.8</v>
      </c>
      <c r="F72" s="1">
        <f t="shared" si="9"/>
        <v>-5.8000000000000007</v>
      </c>
      <c r="G72">
        <f t="shared" si="10"/>
        <v>12.260000000000002</v>
      </c>
      <c r="H72" s="1">
        <f t="shared" si="11"/>
        <v>-5.2600000000000016</v>
      </c>
    </row>
    <row r="73" spans="1:8" x14ac:dyDescent="0.3">
      <c r="A73">
        <v>4</v>
      </c>
      <c r="B73">
        <v>9</v>
      </c>
      <c r="C73">
        <f t="shared" si="12"/>
        <v>13.4</v>
      </c>
      <c r="D73" s="1">
        <f t="shared" si="7"/>
        <v>-4.4000000000000004</v>
      </c>
      <c r="E73">
        <f t="shared" si="8"/>
        <v>12.8</v>
      </c>
      <c r="F73" s="1">
        <f t="shared" si="9"/>
        <v>-3.8000000000000007</v>
      </c>
      <c r="G73">
        <f t="shared" si="10"/>
        <v>12.260000000000002</v>
      </c>
      <c r="H73" s="1">
        <f t="shared" si="11"/>
        <v>-3.2600000000000016</v>
      </c>
    </row>
    <row r="74" spans="1:8" x14ac:dyDescent="0.3">
      <c r="A74">
        <v>5</v>
      </c>
      <c r="B74">
        <v>10</v>
      </c>
      <c r="C74">
        <f t="shared" si="12"/>
        <v>13.4</v>
      </c>
      <c r="D74" s="1">
        <f t="shared" si="7"/>
        <v>-3.4000000000000004</v>
      </c>
      <c r="E74">
        <f t="shared" si="8"/>
        <v>12.8</v>
      </c>
      <c r="F74" s="1">
        <f t="shared" si="9"/>
        <v>-2.8000000000000007</v>
      </c>
      <c r="G74">
        <f t="shared" si="10"/>
        <v>12.260000000000002</v>
      </c>
      <c r="H74" s="1">
        <f t="shared" si="11"/>
        <v>-2.2600000000000016</v>
      </c>
    </row>
    <row r="75" spans="1:8" x14ac:dyDescent="0.3">
      <c r="A75">
        <v>6</v>
      </c>
      <c r="B75">
        <v>14</v>
      </c>
      <c r="C75">
        <f t="shared" si="12"/>
        <v>13.4</v>
      </c>
      <c r="D75" s="1">
        <f t="shared" si="7"/>
        <v>0.59999999999999964</v>
      </c>
      <c r="E75">
        <f>$B$43</f>
        <v>14</v>
      </c>
      <c r="F75" s="1">
        <f t="shared" si="9"/>
        <v>0</v>
      </c>
      <c r="G75">
        <f>$B$67</f>
        <v>14.54</v>
      </c>
      <c r="H75" s="1">
        <f t="shared" si="11"/>
        <v>-0.53999999999999915</v>
      </c>
    </row>
    <row r="76" spans="1:8" x14ac:dyDescent="0.3">
      <c r="A76">
        <v>7</v>
      </c>
      <c r="B76">
        <v>16</v>
      </c>
      <c r="C76">
        <f t="shared" si="12"/>
        <v>13.4</v>
      </c>
      <c r="D76" s="1">
        <f t="shared" si="7"/>
        <v>2.5999999999999996</v>
      </c>
      <c r="E76">
        <f t="shared" ref="E76:E79" si="13">$B$43</f>
        <v>14</v>
      </c>
      <c r="F76" s="1">
        <f t="shared" si="9"/>
        <v>2</v>
      </c>
      <c r="G76">
        <f t="shared" ref="G76:G79" si="14">$B$67</f>
        <v>14.54</v>
      </c>
      <c r="H76" s="1">
        <f t="shared" si="11"/>
        <v>1.4600000000000009</v>
      </c>
    </row>
    <row r="77" spans="1:8" x14ac:dyDescent="0.3">
      <c r="A77">
        <v>8</v>
      </c>
      <c r="B77">
        <v>19</v>
      </c>
      <c r="C77">
        <f t="shared" si="12"/>
        <v>13.4</v>
      </c>
      <c r="D77" s="1">
        <f t="shared" si="7"/>
        <v>5.6</v>
      </c>
      <c r="E77">
        <f t="shared" si="13"/>
        <v>14</v>
      </c>
      <c r="F77" s="1">
        <f t="shared" si="9"/>
        <v>5</v>
      </c>
      <c r="G77">
        <f t="shared" si="14"/>
        <v>14.54</v>
      </c>
      <c r="H77" s="1">
        <f t="shared" si="11"/>
        <v>4.4600000000000009</v>
      </c>
    </row>
    <row r="78" spans="1:8" x14ac:dyDescent="0.3">
      <c r="A78">
        <v>9</v>
      </c>
      <c r="B78">
        <v>23</v>
      </c>
      <c r="C78">
        <f t="shared" si="12"/>
        <v>13.4</v>
      </c>
      <c r="D78" s="1">
        <f t="shared" si="7"/>
        <v>9.6</v>
      </c>
      <c r="E78">
        <f t="shared" si="13"/>
        <v>14</v>
      </c>
      <c r="F78" s="1">
        <f t="shared" si="9"/>
        <v>9</v>
      </c>
      <c r="G78">
        <f t="shared" si="14"/>
        <v>14.54</v>
      </c>
      <c r="H78" s="1">
        <f t="shared" si="11"/>
        <v>8.4600000000000009</v>
      </c>
    </row>
    <row r="79" spans="1:8" x14ac:dyDescent="0.3">
      <c r="A79">
        <v>10</v>
      </c>
      <c r="B79">
        <v>25</v>
      </c>
      <c r="C79">
        <f t="shared" si="12"/>
        <v>13.4</v>
      </c>
      <c r="D79" s="1">
        <f t="shared" si="7"/>
        <v>11.6</v>
      </c>
      <c r="E79">
        <f t="shared" si="13"/>
        <v>14</v>
      </c>
      <c r="F79" s="1">
        <f t="shared" si="9"/>
        <v>11</v>
      </c>
      <c r="G79">
        <f t="shared" si="14"/>
        <v>14.54</v>
      </c>
      <c r="H79" s="1">
        <f t="shared" si="11"/>
        <v>10.46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7876-47E6-4759-9136-26166318F87A}">
  <dimension ref="A1:K85"/>
  <sheetViews>
    <sheetView tabSelected="1" topLeftCell="A61" zoomScale="150" zoomScaleNormal="150" workbookViewId="0">
      <selection activeCell="H78" sqref="H78"/>
    </sheetView>
  </sheetViews>
  <sheetFormatPr defaultRowHeight="14.4" x14ac:dyDescent="0.3"/>
  <sheetData>
    <row r="1" spans="1:9" x14ac:dyDescent="0.3">
      <c r="A1" t="s">
        <v>0</v>
      </c>
      <c r="B1" t="s">
        <v>1</v>
      </c>
    </row>
    <row r="2" spans="1:9" x14ac:dyDescent="0.3">
      <c r="A2">
        <v>1</v>
      </c>
      <c r="B2">
        <v>0</v>
      </c>
    </row>
    <row r="3" spans="1:9" x14ac:dyDescent="0.3">
      <c r="A3">
        <v>2</v>
      </c>
      <c r="B3">
        <v>0</v>
      </c>
    </row>
    <row r="4" spans="1:9" x14ac:dyDescent="0.3">
      <c r="A4">
        <v>3</v>
      </c>
      <c r="B4">
        <v>0</v>
      </c>
    </row>
    <row r="5" spans="1:9" x14ac:dyDescent="0.3">
      <c r="A5">
        <v>4</v>
      </c>
      <c r="B5">
        <v>0</v>
      </c>
    </row>
    <row r="6" spans="1:9" x14ac:dyDescent="0.3">
      <c r="A6">
        <v>5</v>
      </c>
      <c r="B6">
        <v>0</v>
      </c>
    </row>
    <row r="7" spans="1:9" x14ac:dyDescent="0.3">
      <c r="A7">
        <v>6</v>
      </c>
      <c r="B7">
        <v>1</v>
      </c>
    </row>
    <row r="8" spans="1:9" x14ac:dyDescent="0.3">
      <c r="A8">
        <v>7</v>
      </c>
      <c r="B8">
        <v>1</v>
      </c>
    </row>
    <row r="9" spans="1:9" x14ac:dyDescent="0.3">
      <c r="A9">
        <v>8</v>
      </c>
      <c r="B9">
        <v>1</v>
      </c>
    </row>
    <row r="11" spans="1:9" x14ac:dyDescent="0.3">
      <c r="A11" t="s">
        <v>26</v>
      </c>
      <c r="E11" s="2" t="s">
        <v>27</v>
      </c>
      <c r="F11">
        <f>3/8</f>
        <v>0.375</v>
      </c>
      <c r="G11" t="s">
        <v>28</v>
      </c>
      <c r="I11" t="str">
        <f ca="1">_xlfn.FORMULATEXT(F11)</f>
        <v>=3/8</v>
      </c>
    </row>
    <row r="12" spans="1:9" x14ac:dyDescent="0.3">
      <c r="F12">
        <f>1-F11</f>
        <v>0.625</v>
      </c>
      <c r="G12" t="s">
        <v>29</v>
      </c>
      <c r="I12" t="str">
        <f t="shared" ref="I12:I14" ca="1" si="0">_xlfn.FORMULATEXT(F12)</f>
        <v>=1-F11</v>
      </c>
    </row>
    <row r="13" spans="1:9" x14ac:dyDescent="0.3">
      <c r="F13">
        <f>F11/F12</f>
        <v>0.6</v>
      </c>
      <c r="G13" t="s">
        <v>30</v>
      </c>
      <c r="I13" t="str">
        <f t="shared" ca="1" si="0"/>
        <v>=F11/F12</v>
      </c>
    </row>
    <row r="14" spans="1:9" x14ac:dyDescent="0.3">
      <c r="F14">
        <f>LOG(F13,2.7183)</f>
        <v>-0.51082220896346076</v>
      </c>
      <c r="G14" t="s">
        <v>31</v>
      </c>
      <c r="I14" t="str">
        <f t="shared" ca="1" si="0"/>
        <v>=LOG(F13,2.7183)</v>
      </c>
    </row>
    <row r="16" spans="1:9" x14ac:dyDescent="0.3">
      <c r="A16" t="s">
        <v>0</v>
      </c>
      <c r="B16" t="s">
        <v>1</v>
      </c>
      <c r="C16" t="s">
        <v>32</v>
      </c>
      <c r="D16" t="s">
        <v>5</v>
      </c>
    </row>
    <row r="17" spans="1:4" x14ac:dyDescent="0.3">
      <c r="A17">
        <v>1</v>
      </c>
      <c r="B17">
        <v>0</v>
      </c>
      <c r="C17">
        <f>$F$11</f>
        <v>0.375</v>
      </c>
      <c r="D17">
        <f>B17-C17</f>
        <v>-0.375</v>
      </c>
    </row>
    <row r="18" spans="1:4" x14ac:dyDescent="0.3">
      <c r="A18">
        <v>2</v>
      </c>
      <c r="B18">
        <v>0</v>
      </c>
      <c r="C18">
        <f t="shared" ref="C18:C24" si="1">$F$11</f>
        <v>0.375</v>
      </c>
      <c r="D18">
        <f t="shared" ref="D18:D24" si="2">B18-C18</f>
        <v>-0.375</v>
      </c>
    </row>
    <row r="19" spans="1:4" x14ac:dyDescent="0.3">
      <c r="A19">
        <v>3</v>
      </c>
      <c r="B19">
        <v>0</v>
      </c>
      <c r="C19">
        <f t="shared" si="1"/>
        <v>0.375</v>
      </c>
      <c r="D19">
        <f t="shared" si="2"/>
        <v>-0.375</v>
      </c>
    </row>
    <row r="20" spans="1:4" x14ac:dyDescent="0.3">
      <c r="A20">
        <v>4</v>
      </c>
      <c r="B20">
        <v>0</v>
      </c>
      <c r="C20">
        <f t="shared" si="1"/>
        <v>0.375</v>
      </c>
      <c r="D20">
        <f t="shared" si="2"/>
        <v>-0.375</v>
      </c>
    </row>
    <row r="21" spans="1:4" x14ac:dyDescent="0.3">
      <c r="A21">
        <v>5</v>
      </c>
      <c r="B21">
        <v>0</v>
      </c>
      <c r="C21">
        <f t="shared" si="1"/>
        <v>0.375</v>
      </c>
      <c r="D21">
        <f t="shared" si="2"/>
        <v>-0.375</v>
      </c>
    </row>
    <row r="22" spans="1:4" x14ac:dyDescent="0.3">
      <c r="A22">
        <v>6</v>
      </c>
      <c r="B22">
        <v>1</v>
      </c>
      <c r="C22">
        <f t="shared" si="1"/>
        <v>0.375</v>
      </c>
      <c r="D22">
        <f t="shared" si="2"/>
        <v>0.625</v>
      </c>
    </row>
    <row r="23" spans="1:4" x14ac:dyDescent="0.3">
      <c r="A23">
        <v>7</v>
      </c>
      <c r="B23">
        <v>1</v>
      </c>
      <c r="C23">
        <f t="shared" si="1"/>
        <v>0.375</v>
      </c>
      <c r="D23">
        <f t="shared" si="2"/>
        <v>0.625</v>
      </c>
    </row>
    <row r="24" spans="1:4" x14ac:dyDescent="0.3">
      <c r="A24">
        <v>8</v>
      </c>
      <c r="B24">
        <v>1</v>
      </c>
      <c r="C24">
        <f t="shared" si="1"/>
        <v>0.375</v>
      </c>
      <c r="D24">
        <f t="shared" si="2"/>
        <v>0.625</v>
      </c>
    </row>
    <row r="26" spans="1:4" x14ac:dyDescent="0.3">
      <c r="A26" t="s">
        <v>33</v>
      </c>
      <c r="C26" t="s">
        <v>36</v>
      </c>
    </row>
    <row r="27" spans="1:4" x14ac:dyDescent="0.3">
      <c r="A27" t="s">
        <v>34</v>
      </c>
      <c r="B27">
        <f>0.375*(1-0.375)</f>
        <v>0.234375</v>
      </c>
    </row>
    <row r="29" spans="1:4" x14ac:dyDescent="0.3">
      <c r="A29" t="s">
        <v>35</v>
      </c>
    </row>
    <row r="30" spans="1:4" x14ac:dyDescent="0.3">
      <c r="A30" t="s">
        <v>16</v>
      </c>
      <c r="B30" t="s">
        <v>17</v>
      </c>
    </row>
    <row r="31" spans="1:4" x14ac:dyDescent="0.3">
      <c r="A31">
        <v>-0.375</v>
      </c>
      <c r="B31">
        <v>-0.375</v>
      </c>
    </row>
    <row r="32" spans="1:4" x14ac:dyDescent="0.3">
      <c r="A32">
        <v>-0.375</v>
      </c>
      <c r="B32">
        <v>0.625</v>
      </c>
    </row>
    <row r="33" spans="1:11" x14ac:dyDescent="0.3">
      <c r="A33">
        <v>-0.375</v>
      </c>
      <c r="B33">
        <v>0.625</v>
      </c>
    </row>
    <row r="34" spans="1:11" x14ac:dyDescent="0.3">
      <c r="A34">
        <v>-0.375</v>
      </c>
      <c r="B34">
        <v>0.625</v>
      </c>
    </row>
    <row r="35" spans="1:11" x14ac:dyDescent="0.3">
      <c r="A35">
        <f>SUM(A31:A34)</f>
        <v>-1.5</v>
      </c>
      <c r="B35">
        <f>SUM(B31:B34)</f>
        <v>1.5</v>
      </c>
      <c r="C35" t="s">
        <v>37</v>
      </c>
    </row>
    <row r="36" spans="1:11" x14ac:dyDescent="0.3">
      <c r="A36">
        <f>A35/(4*B27)</f>
        <v>-1.6</v>
      </c>
      <c r="B36">
        <f>B35/(4*B27)</f>
        <v>1.6</v>
      </c>
      <c r="C36" t="s">
        <v>38</v>
      </c>
      <c r="E36" t="s">
        <v>39</v>
      </c>
      <c r="K36" t="str">
        <f ca="1">_xlfn.FORMULATEXT(A36)</f>
        <v>=A35/(4*B27)</v>
      </c>
    </row>
    <row r="38" spans="1:11" x14ac:dyDescent="0.3">
      <c r="A38" t="s">
        <v>40</v>
      </c>
    </row>
    <row r="39" spans="1:11" x14ac:dyDescent="0.3">
      <c r="A39">
        <f>F14+0.1*A36</f>
        <v>-0.67082220896346079</v>
      </c>
      <c r="C39" t="str">
        <f ca="1">_xlfn.FORMULATEXT(A39)</f>
        <v>=F14+0.1*A36</v>
      </c>
      <c r="E39" t="s">
        <v>41</v>
      </c>
    </row>
    <row r="40" spans="1:11" x14ac:dyDescent="0.3">
      <c r="A40" t="s">
        <v>42</v>
      </c>
    </row>
    <row r="41" spans="1:11" x14ac:dyDescent="0.3">
      <c r="A41">
        <f>F14+0.1*B36</f>
        <v>-0.35082220896346072</v>
      </c>
    </row>
    <row r="43" spans="1:11" x14ac:dyDescent="0.3">
      <c r="A43" t="s">
        <v>43</v>
      </c>
    </row>
    <row r="44" spans="1:11" x14ac:dyDescent="0.3">
      <c r="A44">
        <f>1/(1+2.7183^-A39)</f>
        <v>0.33831175504726491</v>
      </c>
      <c r="C44" t="str">
        <f ca="1">_xlfn.FORMULATEXT(A44)</f>
        <v>=1/(1+2.7183^-A39)</v>
      </c>
    </row>
    <row r="45" spans="1:11" x14ac:dyDescent="0.3">
      <c r="A45" t="s">
        <v>44</v>
      </c>
    </row>
    <row r="46" spans="1:11" x14ac:dyDescent="0.3">
      <c r="A46">
        <f>1/(1+2.7183^-A41)</f>
        <v>0.41318248313309863</v>
      </c>
      <c r="C46" t="str">
        <f ca="1">_xlfn.FORMULATEXT(A46)</f>
        <v>=1/(1+2.7183^-A41)</v>
      </c>
    </row>
    <row r="48" spans="1:11" x14ac:dyDescent="0.3">
      <c r="A48" t="s">
        <v>0</v>
      </c>
      <c r="B48" t="s">
        <v>1</v>
      </c>
      <c r="C48" t="s">
        <v>32</v>
      </c>
      <c r="D48" t="s">
        <v>5</v>
      </c>
      <c r="E48" t="s">
        <v>45</v>
      </c>
      <c r="F48" t="s">
        <v>19</v>
      </c>
    </row>
    <row r="49" spans="1:6" x14ac:dyDescent="0.3">
      <c r="A49">
        <v>1</v>
      </c>
      <c r="B49">
        <v>0</v>
      </c>
      <c r="C49">
        <f>$F$11</f>
        <v>0.375</v>
      </c>
      <c r="D49">
        <f>B49-C49</f>
        <v>-0.375</v>
      </c>
      <c r="E49">
        <f>$A$44</f>
        <v>0.33831175504726491</v>
      </c>
      <c r="F49">
        <f>B49-E49</f>
        <v>-0.33831175504726491</v>
      </c>
    </row>
    <row r="50" spans="1:6" x14ac:dyDescent="0.3">
      <c r="A50">
        <v>2</v>
      </c>
      <c r="B50">
        <v>0</v>
      </c>
      <c r="C50">
        <f t="shared" ref="C50:C56" si="3">$F$11</f>
        <v>0.375</v>
      </c>
      <c r="D50">
        <f t="shared" ref="D50:D56" si="4">B50-C50</f>
        <v>-0.375</v>
      </c>
      <c r="E50">
        <f t="shared" ref="E50:E52" si="5">$A$44</f>
        <v>0.33831175504726491</v>
      </c>
      <c r="F50">
        <f t="shared" ref="F50:F56" si="6">B50-E50</f>
        <v>-0.33831175504726491</v>
      </c>
    </row>
    <row r="51" spans="1:6" x14ac:dyDescent="0.3">
      <c r="A51">
        <v>3</v>
      </c>
      <c r="B51">
        <v>0</v>
      </c>
      <c r="C51">
        <f t="shared" si="3"/>
        <v>0.375</v>
      </c>
      <c r="D51">
        <f t="shared" si="4"/>
        <v>-0.375</v>
      </c>
      <c r="E51">
        <f t="shared" si="5"/>
        <v>0.33831175504726491</v>
      </c>
      <c r="F51">
        <f t="shared" si="6"/>
        <v>-0.33831175504726491</v>
      </c>
    </row>
    <row r="52" spans="1:6" x14ac:dyDescent="0.3">
      <c r="A52">
        <v>4</v>
      </c>
      <c r="B52">
        <v>0</v>
      </c>
      <c r="C52">
        <f t="shared" si="3"/>
        <v>0.375</v>
      </c>
      <c r="D52">
        <f t="shared" si="4"/>
        <v>-0.375</v>
      </c>
      <c r="E52">
        <f t="shared" si="5"/>
        <v>0.33831175504726491</v>
      </c>
      <c r="F52">
        <f t="shared" si="6"/>
        <v>-0.33831175504726491</v>
      </c>
    </row>
    <row r="53" spans="1:6" x14ac:dyDescent="0.3">
      <c r="A53">
        <v>5</v>
      </c>
      <c r="B53">
        <v>0</v>
      </c>
      <c r="C53">
        <f t="shared" si="3"/>
        <v>0.375</v>
      </c>
      <c r="D53">
        <f t="shared" si="4"/>
        <v>-0.375</v>
      </c>
      <c r="E53">
        <f>$A$46</f>
        <v>0.41318248313309863</v>
      </c>
      <c r="F53">
        <f t="shared" si="6"/>
        <v>-0.41318248313309863</v>
      </c>
    </row>
    <row r="54" spans="1:6" x14ac:dyDescent="0.3">
      <c r="A54">
        <v>6</v>
      </c>
      <c r="B54">
        <v>1</v>
      </c>
      <c r="C54">
        <f t="shared" si="3"/>
        <v>0.375</v>
      </c>
      <c r="D54">
        <f t="shared" si="4"/>
        <v>0.625</v>
      </c>
      <c r="E54">
        <f t="shared" ref="E54:E56" si="7">$A$46</f>
        <v>0.41318248313309863</v>
      </c>
      <c r="F54">
        <f t="shared" si="6"/>
        <v>0.58681751686690142</v>
      </c>
    </row>
    <row r="55" spans="1:6" x14ac:dyDescent="0.3">
      <c r="A55">
        <v>7</v>
      </c>
      <c r="B55">
        <v>1</v>
      </c>
      <c r="C55">
        <f t="shared" si="3"/>
        <v>0.375</v>
      </c>
      <c r="D55">
        <f t="shared" si="4"/>
        <v>0.625</v>
      </c>
      <c r="E55">
        <f t="shared" si="7"/>
        <v>0.41318248313309863</v>
      </c>
      <c r="F55">
        <f t="shared" si="6"/>
        <v>0.58681751686690142</v>
      </c>
    </row>
    <row r="56" spans="1:6" x14ac:dyDescent="0.3">
      <c r="A56">
        <v>8</v>
      </c>
      <c r="B56">
        <v>1</v>
      </c>
      <c r="C56">
        <f t="shared" si="3"/>
        <v>0.375</v>
      </c>
      <c r="D56">
        <f t="shared" si="4"/>
        <v>0.625</v>
      </c>
      <c r="E56">
        <f t="shared" si="7"/>
        <v>0.41318248313309863</v>
      </c>
      <c r="F56">
        <f t="shared" si="6"/>
        <v>0.58681751686690142</v>
      </c>
    </row>
    <row r="58" spans="1:6" x14ac:dyDescent="0.3">
      <c r="A58" t="s">
        <v>46</v>
      </c>
    </row>
    <row r="60" spans="1:6" x14ac:dyDescent="0.3">
      <c r="A60" t="s">
        <v>16</v>
      </c>
      <c r="B60" t="s">
        <v>17</v>
      </c>
    </row>
    <row r="61" spans="1:6" x14ac:dyDescent="0.3">
      <c r="A61">
        <v>-0.33831175504726491</v>
      </c>
      <c r="B61">
        <v>-0.41318248313309863</v>
      </c>
    </row>
    <row r="62" spans="1:6" x14ac:dyDescent="0.3">
      <c r="A62">
        <v>-0.33831175504726491</v>
      </c>
      <c r="B62">
        <v>0.58681751686690142</v>
      </c>
    </row>
    <row r="63" spans="1:6" x14ac:dyDescent="0.3">
      <c r="A63">
        <v>-0.33831175504726491</v>
      </c>
      <c r="B63">
        <v>0.58681751686690142</v>
      </c>
    </row>
    <row r="64" spans="1:6" x14ac:dyDescent="0.3">
      <c r="A64">
        <v>-0.33831175504726491</v>
      </c>
      <c r="B64">
        <v>0.58681751686690142</v>
      </c>
    </row>
    <row r="65" spans="1:8" x14ac:dyDescent="0.3">
      <c r="A65">
        <f>SUM(A61:A64)/(4*E49*(1-E49))</f>
        <v>-1.5112857265152577</v>
      </c>
      <c r="B65">
        <f>SUM(B61:B64)/(4*E53*(1-E53))</f>
        <v>1.3891517779822529</v>
      </c>
      <c r="C65" t="s">
        <v>38</v>
      </c>
    </row>
    <row r="67" spans="1:8" x14ac:dyDescent="0.3">
      <c r="A67" t="s">
        <v>40</v>
      </c>
    </row>
    <row r="68" spans="1:8" x14ac:dyDescent="0.3">
      <c r="A68">
        <f>A39+0.1*A65</f>
        <v>-0.82195078161498658</v>
      </c>
    </row>
    <row r="69" spans="1:8" x14ac:dyDescent="0.3">
      <c r="A69" t="s">
        <v>42</v>
      </c>
    </row>
    <row r="70" spans="1:8" x14ac:dyDescent="0.3">
      <c r="A70">
        <f>A41+0.1*B65</f>
        <v>-0.21190703116523543</v>
      </c>
    </row>
    <row r="72" spans="1:8" x14ac:dyDescent="0.3">
      <c r="A72" t="s">
        <v>47</v>
      </c>
    </row>
    <row r="73" spans="1:8" x14ac:dyDescent="0.3">
      <c r="A73">
        <f>1/(1+2.7183^-A68)</f>
        <v>0.30534855459872906</v>
      </c>
    </row>
    <row r="74" spans="1:8" x14ac:dyDescent="0.3">
      <c r="A74" t="s">
        <v>48</v>
      </c>
    </row>
    <row r="75" spans="1:8" x14ac:dyDescent="0.3">
      <c r="A75">
        <f>1/(1+2.7183^-A70)</f>
        <v>0.44722024747222405</v>
      </c>
    </row>
    <row r="77" spans="1:8" x14ac:dyDescent="0.3">
      <c r="A77" t="s">
        <v>0</v>
      </c>
      <c r="B77" t="s">
        <v>1</v>
      </c>
      <c r="C77" t="s">
        <v>32</v>
      </c>
      <c r="D77" t="s">
        <v>5</v>
      </c>
      <c r="E77" t="s">
        <v>45</v>
      </c>
      <c r="F77" t="s">
        <v>19</v>
      </c>
      <c r="G77" t="s">
        <v>49</v>
      </c>
      <c r="H77" t="s">
        <v>25</v>
      </c>
    </row>
    <row r="78" spans="1:8" x14ac:dyDescent="0.3">
      <c r="A78">
        <v>1</v>
      </c>
      <c r="B78">
        <v>0</v>
      </c>
      <c r="C78">
        <f>$F$11</f>
        <v>0.375</v>
      </c>
      <c r="D78">
        <f>B78-C78</f>
        <v>-0.375</v>
      </c>
      <c r="E78">
        <f>$A$44</f>
        <v>0.33831175504726491</v>
      </c>
      <c r="F78">
        <f>B78-E78</f>
        <v>-0.33831175504726491</v>
      </c>
      <c r="G78">
        <f>$A$73</f>
        <v>0.30534855459872906</v>
      </c>
      <c r="H78">
        <f>B78-G78</f>
        <v>-0.30534855459872906</v>
      </c>
    </row>
    <row r="79" spans="1:8" x14ac:dyDescent="0.3">
      <c r="A79">
        <v>2</v>
      </c>
      <c r="B79">
        <v>0</v>
      </c>
      <c r="C79">
        <f t="shared" ref="C79:C85" si="8">$F$11</f>
        <v>0.375</v>
      </c>
      <c r="D79">
        <f t="shared" ref="D79:D85" si="9">B79-C79</f>
        <v>-0.375</v>
      </c>
      <c r="E79">
        <f t="shared" ref="E79:E81" si="10">$A$44</f>
        <v>0.33831175504726491</v>
      </c>
      <c r="F79">
        <f t="shared" ref="F79:F85" si="11">B79-E79</f>
        <v>-0.33831175504726491</v>
      </c>
      <c r="G79">
        <f t="shared" ref="G79:G81" si="12">$A$73</f>
        <v>0.30534855459872906</v>
      </c>
      <c r="H79">
        <f t="shared" ref="H79:H85" si="13">B79-G79</f>
        <v>-0.30534855459872906</v>
      </c>
    </row>
    <row r="80" spans="1:8" x14ac:dyDescent="0.3">
      <c r="A80">
        <v>3</v>
      </c>
      <c r="B80">
        <v>0</v>
      </c>
      <c r="C80">
        <f t="shared" si="8"/>
        <v>0.375</v>
      </c>
      <c r="D80">
        <f t="shared" si="9"/>
        <v>-0.375</v>
      </c>
      <c r="E80">
        <f t="shared" si="10"/>
        <v>0.33831175504726491</v>
      </c>
      <c r="F80">
        <f t="shared" si="11"/>
        <v>-0.33831175504726491</v>
      </c>
      <c r="G80">
        <f t="shared" si="12"/>
        <v>0.30534855459872906</v>
      </c>
      <c r="H80">
        <f t="shared" si="13"/>
        <v>-0.30534855459872906</v>
      </c>
    </row>
    <row r="81" spans="1:8" x14ac:dyDescent="0.3">
      <c r="A81">
        <v>4</v>
      </c>
      <c r="B81">
        <v>0</v>
      </c>
      <c r="C81">
        <f t="shared" si="8"/>
        <v>0.375</v>
      </c>
      <c r="D81">
        <f t="shared" si="9"/>
        <v>-0.375</v>
      </c>
      <c r="E81">
        <f t="shared" si="10"/>
        <v>0.33831175504726491</v>
      </c>
      <c r="F81">
        <f t="shared" si="11"/>
        <v>-0.33831175504726491</v>
      </c>
      <c r="G81">
        <f t="shared" si="12"/>
        <v>0.30534855459872906</v>
      </c>
      <c r="H81">
        <f t="shared" si="13"/>
        <v>-0.30534855459872906</v>
      </c>
    </row>
    <row r="82" spans="1:8" x14ac:dyDescent="0.3">
      <c r="A82">
        <v>5</v>
      </c>
      <c r="B82">
        <v>0</v>
      </c>
      <c r="C82">
        <f t="shared" si="8"/>
        <v>0.375</v>
      </c>
      <c r="D82">
        <f t="shared" si="9"/>
        <v>-0.375</v>
      </c>
      <c r="E82">
        <f>$A$46</f>
        <v>0.41318248313309863</v>
      </c>
      <c r="F82">
        <f t="shared" si="11"/>
        <v>-0.41318248313309863</v>
      </c>
      <c r="G82">
        <f>$A$75</f>
        <v>0.44722024747222405</v>
      </c>
      <c r="H82">
        <f t="shared" si="13"/>
        <v>-0.44722024747222405</v>
      </c>
    </row>
    <row r="83" spans="1:8" x14ac:dyDescent="0.3">
      <c r="A83">
        <v>6</v>
      </c>
      <c r="B83">
        <v>1</v>
      </c>
      <c r="C83">
        <f t="shared" si="8"/>
        <v>0.375</v>
      </c>
      <c r="D83">
        <f t="shared" si="9"/>
        <v>0.625</v>
      </c>
      <c r="E83">
        <f t="shared" ref="E83:E85" si="14">$A$46</f>
        <v>0.41318248313309863</v>
      </c>
      <c r="F83">
        <f t="shared" si="11"/>
        <v>0.58681751686690142</v>
      </c>
      <c r="G83">
        <f t="shared" ref="G83:G85" si="15">$A$75</f>
        <v>0.44722024747222405</v>
      </c>
      <c r="H83">
        <f t="shared" si="13"/>
        <v>0.552779752527776</v>
      </c>
    </row>
    <row r="84" spans="1:8" x14ac:dyDescent="0.3">
      <c r="A84">
        <v>7</v>
      </c>
      <c r="B84">
        <v>1</v>
      </c>
      <c r="C84">
        <f t="shared" si="8"/>
        <v>0.375</v>
      </c>
      <c r="D84">
        <f t="shared" si="9"/>
        <v>0.625</v>
      </c>
      <c r="E84">
        <f t="shared" si="14"/>
        <v>0.41318248313309863</v>
      </c>
      <c r="F84">
        <f t="shared" si="11"/>
        <v>0.58681751686690142</v>
      </c>
      <c r="G84">
        <f t="shared" si="15"/>
        <v>0.44722024747222405</v>
      </c>
      <c r="H84">
        <f t="shared" si="13"/>
        <v>0.552779752527776</v>
      </c>
    </row>
    <row r="85" spans="1:8" x14ac:dyDescent="0.3">
      <c r="A85">
        <v>8</v>
      </c>
      <c r="B85">
        <v>1</v>
      </c>
      <c r="C85">
        <f t="shared" si="8"/>
        <v>0.375</v>
      </c>
      <c r="D85">
        <f t="shared" si="9"/>
        <v>0.625</v>
      </c>
      <c r="E85">
        <f t="shared" si="14"/>
        <v>0.41318248313309863</v>
      </c>
      <c r="F85">
        <f t="shared" si="11"/>
        <v>0.58681751686690142</v>
      </c>
      <c r="G85">
        <f t="shared" si="15"/>
        <v>0.44722024747222405</v>
      </c>
      <c r="H85">
        <f t="shared" si="13"/>
        <v>0.552779752527776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Continuous</vt:lpstr>
      <vt:lpstr>Categorical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2025-12-17T07:23:38Z</dcterms:created>
  <dcterms:modified xsi:type="dcterms:W3CDTF">2025-12-17T12:38:01Z</dcterms:modified>
</cp:coreProperties>
</file>