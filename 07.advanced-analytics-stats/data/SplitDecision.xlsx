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8B74710A-0B8D-40ED-A962-52290226BB1B}" xr6:coauthVersionLast="47" xr6:coauthVersionMax="47" xr10:uidLastSave="{00000000-0000-0000-0000-000000000000}"/>
  <bookViews>
    <workbookView xWindow="-108" yWindow="-108" windowWidth="23256" windowHeight="12456" activeTab="1" xr2:uid="{73A259C0-D9C4-4254-A14D-7AB869B9B38F}"/>
  </bookViews>
  <sheets>
    <sheet name="ContinuousResponse" sheetId="1" r:id="rId1"/>
    <sheet name="CategoricalResponse" sheetId="2" r:id="rId2"/>
  </sheets>
  <definedNames>
    <definedName name="_xlnm._FilterDatabase" localSheetId="1" hidden="1">CategoricalResponse!$A$1:$E$14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2" l="1"/>
  <c r="O30" i="2"/>
  <c r="O25" i="2"/>
  <c r="I32" i="2"/>
  <c r="I30" i="2"/>
  <c r="I25" i="2"/>
  <c r="J25" i="2"/>
  <c r="U19" i="2" l="1"/>
  <c r="U17" i="2"/>
  <c r="U16" i="2"/>
  <c r="U15" i="2"/>
  <c r="U12" i="2"/>
  <c r="U11" i="2"/>
  <c r="U10" i="2"/>
  <c r="A17" i="2"/>
  <c r="R16" i="2"/>
  <c r="R15" i="2"/>
  <c r="R17" i="2" s="1"/>
  <c r="R11" i="2"/>
  <c r="R10" i="2"/>
  <c r="R12" i="2" s="1"/>
  <c r="R19" i="2" s="1"/>
  <c r="O16" i="2"/>
  <c r="O15" i="2"/>
  <c r="O17" i="2" s="1"/>
  <c r="O11" i="2"/>
  <c r="O10" i="2"/>
  <c r="I16" i="2"/>
  <c r="I15" i="2"/>
  <c r="I11" i="2"/>
  <c r="I10" i="2"/>
  <c r="J19" i="2"/>
  <c r="J12" i="2"/>
  <c r="O12" i="2" l="1"/>
  <c r="O19" i="2" s="1"/>
  <c r="I12" i="2"/>
  <c r="I17" i="2"/>
  <c r="H19" i="1"/>
  <c r="I18" i="1"/>
  <c r="H18" i="1"/>
  <c r="D21" i="1"/>
  <c r="E20" i="1"/>
  <c r="D20" i="1"/>
  <c r="A21" i="1"/>
  <c r="B18" i="1"/>
  <c r="A18" i="1"/>
  <c r="D9" i="1"/>
  <c r="I19" i="2" l="1"/>
</calcChain>
</file>

<file path=xl/sharedStrings.xml><?xml version="1.0" encoding="utf-8"?>
<sst xmlns="http://schemas.openxmlformats.org/spreadsheetml/2006/main" count="144" uniqueCount="63">
  <si>
    <t>HouseArea</t>
  </si>
  <si>
    <t>Location</t>
  </si>
  <si>
    <t>Price</t>
  </si>
  <si>
    <t>Urban</t>
  </si>
  <si>
    <t>Semi-Urban</t>
  </si>
  <si>
    <t>HouseArea&lt;=800</t>
  </si>
  <si>
    <t>HouseArea&lt;=1000</t>
  </si>
  <si>
    <t>parent node variance</t>
  </si>
  <si>
    <t>left</t>
  </si>
  <si>
    <t>right</t>
  </si>
  <si>
    <t>weighted variance</t>
  </si>
  <si>
    <t>Location==Urban</t>
  </si>
  <si>
    <t>Gender</t>
  </si>
  <si>
    <t>Diet</t>
  </si>
  <si>
    <t>Diabetes</t>
  </si>
  <si>
    <t>NV</t>
  </si>
  <si>
    <t>V</t>
  </si>
  <si>
    <t>F</t>
  </si>
  <si>
    <t>M</t>
  </si>
  <si>
    <t>TotalMales</t>
  </si>
  <si>
    <t>MalesDiabetic</t>
  </si>
  <si>
    <t>MalesNotDiabetic</t>
  </si>
  <si>
    <t>TotalFemales</t>
  </si>
  <si>
    <t>FemalesDiabetic</t>
  </si>
  <si>
    <t>FemalesNotDiabetic</t>
  </si>
  <si>
    <t>Males</t>
  </si>
  <si>
    <t>Prob of diabetic</t>
  </si>
  <si>
    <t>Prob of non-diabetic</t>
  </si>
  <si>
    <t>Gini impurity</t>
  </si>
  <si>
    <t>Females</t>
  </si>
  <si>
    <t>Weighted impurity</t>
  </si>
  <si>
    <t>TotalVeg</t>
  </si>
  <si>
    <t>VegDiabetic</t>
  </si>
  <si>
    <t>VegNonDiab</t>
  </si>
  <si>
    <t>TotalNonVeg</t>
  </si>
  <si>
    <t>NonVegDiabetic</t>
  </si>
  <si>
    <t>NonVegNonDiab</t>
  </si>
  <si>
    <t>Veg</t>
  </si>
  <si>
    <t>NonVeg</t>
  </si>
  <si>
    <t>A</t>
  </si>
  <si>
    <t>C</t>
  </si>
  <si>
    <t>B</t>
  </si>
  <si>
    <t>TotalA</t>
  </si>
  <si>
    <t>A_Diabetic</t>
  </si>
  <si>
    <t>A_NonDia</t>
  </si>
  <si>
    <t>TotalNonA</t>
  </si>
  <si>
    <t>NonA_Dia</t>
  </si>
  <si>
    <t>NonA_NonDia</t>
  </si>
  <si>
    <t>Prob of non-dia</t>
  </si>
  <si>
    <t>Prob of dia</t>
  </si>
  <si>
    <t>Non_A</t>
  </si>
  <si>
    <t>Weighted imp</t>
  </si>
  <si>
    <t>Parent impurity</t>
  </si>
  <si>
    <t>Weight</t>
  </si>
  <si>
    <t>&lt;=65 (UW)</t>
  </si>
  <si>
    <t>UW_Dia</t>
  </si>
  <si>
    <t>UW_NonDia</t>
  </si>
  <si>
    <t>OW_Dia</t>
  </si>
  <si>
    <t>OW_NonDia</t>
  </si>
  <si>
    <t>UW</t>
  </si>
  <si>
    <t>entrpy = - ((pi * log2(pi) + (1-pi)*log2(1-pi))</t>
  </si>
  <si>
    <t>Entropy</t>
  </si>
  <si>
    <t>Weighted entropy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</si>
</sst>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1264-6E53-427B-97CD-73A95827B130}">
  <dimension ref="A1:I21"/>
  <sheetViews>
    <sheetView zoomScale="120" zoomScaleNormal="170" workbookViewId="0">
      <selection activeCell="D17" sqref="D17"/>
    </sheetView>
  </sheetViews>
  <sheetFormatPr defaultRowHeight="14.4" x14ac:dyDescent="0.3"/>
  <cols>
    <col min="1" max="1" width="9.88671875" bestFit="1" customWidth="1"/>
    <col min="2" max="2" width="13.5546875" customWidth="1"/>
  </cols>
  <sheetData>
    <row r="1" spans="1:9" x14ac:dyDescent="0.3">
      <c r="A1" t="s">
        <v>0</v>
      </c>
      <c r="B1" t="s">
        <v>1</v>
      </c>
      <c r="C1" t="s">
        <v>2</v>
      </c>
    </row>
    <row r="2" spans="1:9" x14ac:dyDescent="0.3">
      <c r="A2">
        <v>650</v>
      </c>
      <c r="B2" t="s">
        <v>3</v>
      </c>
      <c r="C2">
        <v>68</v>
      </c>
    </row>
    <row r="3" spans="1:9" x14ac:dyDescent="0.3">
      <c r="A3">
        <v>800</v>
      </c>
      <c r="B3" t="s">
        <v>4</v>
      </c>
      <c r="C3">
        <v>86</v>
      </c>
    </row>
    <row r="4" spans="1:9" x14ac:dyDescent="0.3">
      <c r="A4">
        <v>1200</v>
      </c>
      <c r="B4" t="s">
        <v>4</v>
      </c>
      <c r="C4">
        <v>102</v>
      </c>
    </row>
    <row r="5" spans="1:9" x14ac:dyDescent="0.3">
      <c r="A5">
        <v>700</v>
      </c>
      <c r="B5" t="s">
        <v>3</v>
      </c>
      <c r="C5">
        <v>75</v>
      </c>
    </row>
    <row r="6" spans="1:9" x14ac:dyDescent="0.3">
      <c r="A6">
        <v>900</v>
      </c>
      <c r="B6" t="s">
        <v>3</v>
      </c>
      <c r="C6">
        <v>105</v>
      </c>
    </row>
    <row r="7" spans="1:9" x14ac:dyDescent="0.3">
      <c r="A7">
        <v>1000</v>
      </c>
      <c r="B7" t="s">
        <v>4</v>
      </c>
      <c r="C7">
        <v>102</v>
      </c>
    </row>
    <row r="8" spans="1:9" x14ac:dyDescent="0.3">
      <c r="A8">
        <v>1100</v>
      </c>
      <c r="B8" t="s">
        <v>3</v>
      </c>
      <c r="C8">
        <v>120</v>
      </c>
    </row>
    <row r="9" spans="1:9" x14ac:dyDescent="0.3">
      <c r="A9">
        <v>800</v>
      </c>
      <c r="B9" t="s">
        <v>4</v>
      </c>
      <c r="C9">
        <v>96</v>
      </c>
      <c r="D9" s="1">
        <f>_xlfn.VAR.P(C2:C9)</f>
        <v>253.6875</v>
      </c>
      <c r="E9" t="s">
        <v>7</v>
      </c>
    </row>
    <row r="11" spans="1:9" x14ac:dyDescent="0.3">
      <c r="A11" t="s">
        <v>5</v>
      </c>
      <c r="E11" t="s">
        <v>6</v>
      </c>
      <c r="H11" t="s">
        <v>11</v>
      </c>
    </row>
    <row r="13" spans="1:9" x14ac:dyDescent="0.3">
      <c r="A13" t="s">
        <v>8</v>
      </c>
      <c r="B13" t="s">
        <v>9</v>
      </c>
      <c r="D13" t="s">
        <v>8</v>
      </c>
      <c r="E13" t="s">
        <v>9</v>
      </c>
      <c r="H13" t="s">
        <v>8</v>
      </c>
      <c r="I13" t="s">
        <v>9</v>
      </c>
    </row>
    <row r="14" spans="1:9" x14ac:dyDescent="0.3">
      <c r="A14">
        <v>68</v>
      </c>
      <c r="B14">
        <v>102</v>
      </c>
      <c r="D14">
        <v>68</v>
      </c>
      <c r="E14">
        <v>102</v>
      </c>
      <c r="H14">
        <v>68</v>
      </c>
      <c r="I14">
        <v>86</v>
      </c>
    </row>
    <row r="15" spans="1:9" x14ac:dyDescent="0.3">
      <c r="A15">
        <v>86</v>
      </c>
      <c r="B15">
        <v>105</v>
      </c>
      <c r="D15">
        <v>86</v>
      </c>
      <c r="E15">
        <v>120</v>
      </c>
      <c r="H15">
        <v>75</v>
      </c>
      <c r="I15">
        <v>102</v>
      </c>
    </row>
    <row r="16" spans="1:9" x14ac:dyDescent="0.3">
      <c r="A16">
        <v>75</v>
      </c>
      <c r="B16">
        <v>102</v>
      </c>
      <c r="D16">
        <v>75</v>
      </c>
      <c r="H16">
        <v>105</v>
      </c>
      <c r="I16">
        <v>102</v>
      </c>
    </row>
    <row r="17" spans="1:9" x14ac:dyDescent="0.3">
      <c r="A17">
        <v>96</v>
      </c>
      <c r="B17">
        <v>120</v>
      </c>
      <c r="D17">
        <v>105</v>
      </c>
      <c r="H17">
        <v>120</v>
      </c>
      <c r="I17">
        <v>96</v>
      </c>
    </row>
    <row r="18" spans="1:9" x14ac:dyDescent="0.3">
      <c r="A18">
        <f>_xlfn.VAR.P(A14:A17)</f>
        <v>113.6875</v>
      </c>
      <c r="B18">
        <f>_xlfn.VAR.P(B14:B17)</f>
        <v>55.6875</v>
      </c>
      <c r="D18">
        <v>102</v>
      </c>
      <c r="H18">
        <f>_xlfn.VAR.P(H14:H17)</f>
        <v>454.5</v>
      </c>
      <c r="I18">
        <f>_xlfn.VAR.P(I14:I17)</f>
        <v>42.75</v>
      </c>
    </row>
    <row r="19" spans="1:9" x14ac:dyDescent="0.3">
      <c r="D19">
        <v>96</v>
      </c>
      <c r="H19" s="1">
        <f>H18*4/8+I18*4/8</f>
        <v>248.625</v>
      </c>
    </row>
    <row r="20" spans="1:9" x14ac:dyDescent="0.3">
      <c r="A20" t="s">
        <v>10</v>
      </c>
      <c r="D20">
        <f>_xlfn.VAR.P(D14:D19)</f>
        <v>186.55555555555554</v>
      </c>
      <c r="E20">
        <f>_xlfn.VAR.P(E14:E15)</f>
        <v>81</v>
      </c>
    </row>
    <row r="21" spans="1:9" x14ac:dyDescent="0.3">
      <c r="A21" s="1">
        <f>A18*4/8 + B18*4/8</f>
        <v>84.6875</v>
      </c>
      <c r="D21" s="1">
        <f>D20*6/8+E20*2/8</f>
        <v>160.16666666666666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D960-D0EE-414E-996B-4CFE0BC1C8CD}">
  <dimension ref="A1:X32"/>
  <sheetViews>
    <sheetView tabSelected="1" topLeftCell="F15" zoomScale="126" zoomScaleNormal="150" workbookViewId="0">
      <selection activeCell="P27" sqref="P27"/>
    </sheetView>
  </sheetViews>
  <sheetFormatPr defaultRowHeight="14.4" x14ac:dyDescent="0.3"/>
  <cols>
    <col min="17" max="17" width="12.6640625" bestFit="1" customWidth="1"/>
    <col min="20" max="20" width="11.21875" bestFit="1" customWidth="1"/>
  </cols>
  <sheetData>
    <row r="1" spans="1:24" x14ac:dyDescent="0.3">
      <c r="A1" t="s">
        <v>12</v>
      </c>
      <c r="B1" t="s">
        <v>13</v>
      </c>
      <c r="C1" t="s">
        <v>1</v>
      </c>
      <c r="D1" t="s">
        <v>53</v>
      </c>
      <c r="E1" t="s">
        <v>14</v>
      </c>
      <c r="G1" t="s">
        <v>19</v>
      </c>
      <c r="I1">
        <v>6</v>
      </c>
      <c r="M1" t="s">
        <v>31</v>
      </c>
      <c r="O1">
        <v>7</v>
      </c>
      <c r="Q1" t="s">
        <v>42</v>
      </c>
      <c r="R1">
        <v>5</v>
      </c>
      <c r="T1" t="s">
        <v>54</v>
      </c>
      <c r="U1">
        <v>8</v>
      </c>
    </row>
    <row r="2" spans="1:24" x14ac:dyDescent="0.3">
      <c r="A2" t="s">
        <v>17</v>
      </c>
      <c r="B2" t="s">
        <v>15</v>
      </c>
      <c r="C2" t="s">
        <v>39</v>
      </c>
      <c r="D2">
        <v>60</v>
      </c>
      <c r="E2">
        <v>1</v>
      </c>
      <c r="G2" t="s">
        <v>20</v>
      </c>
      <c r="I2">
        <v>1</v>
      </c>
      <c r="M2" t="s">
        <v>32</v>
      </c>
      <c r="O2">
        <v>1</v>
      </c>
      <c r="Q2" t="s">
        <v>43</v>
      </c>
      <c r="R2">
        <v>3</v>
      </c>
      <c r="T2" t="s">
        <v>55</v>
      </c>
      <c r="U2">
        <v>5</v>
      </c>
      <c r="X2" t="s">
        <v>60</v>
      </c>
    </row>
    <row r="3" spans="1:24" x14ac:dyDescent="0.3">
      <c r="A3" t="s">
        <v>18</v>
      </c>
      <c r="B3" t="s">
        <v>16</v>
      </c>
      <c r="C3" t="s">
        <v>39</v>
      </c>
      <c r="D3">
        <v>70</v>
      </c>
      <c r="E3">
        <v>0</v>
      </c>
      <c r="G3" t="s">
        <v>21</v>
      </c>
      <c r="I3">
        <v>5</v>
      </c>
      <c r="M3" t="s">
        <v>33</v>
      </c>
      <c r="O3">
        <v>6</v>
      </c>
      <c r="Q3" t="s">
        <v>44</v>
      </c>
      <c r="R3">
        <v>2</v>
      </c>
      <c r="T3" t="s">
        <v>56</v>
      </c>
      <c r="U3">
        <v>3</v>
      </c>
    </row>
    <row r="4" spans="1:24" x14ac:dyDescent="0.3">
      <c r="A4" t="s">
        <v>17</v>
      </c>
      <c r="B4" t="s">
        <v>16</v>
      </c>
      <c r="C4" t="s">
        <v>40</v>
      </c>
      <c r="D4">
        <v>65</v>
      </c>
      <c r="E4">
        <v>0</v>
      </c>
    </row>
    <row r="5" spans="1:24" x14ac:dyDescent="0.3">
      <c r="A5" t="s">
        <v>17</v>
      </c>
      <c r="B5" t="s">
        <v>16</v>
      </c>
      <c r="C5" t="s">
        <v>41</v>
      </c>
      <c r="D5">
        <v>80</v>
      </c>
      <c r="E5">
        <v>0</v>
      </c>
      <c r="G5" t="s">
        <v>22</v>
      </c>
      <c r="I5">
        <v>7</v>
      </c>
      <c r="M5" t="s">
        <v>34</v>
      </c>
      <c r="O5">
        <v>6</v>
      </c>
      <c r="Q5" t="s">
        <v>45</v>
      </c>
      <c r="R5">
        <v>8</v>
      </c>
      <c r="U5">
        <v>5</v>
      </c>
    </row>
    <row r="6" spans="1:24" x14ac:dyDescent="0.3">
      <c r="A6" t="s">
        <v>18</v>
      </c>
      <c r="B6" t="s">
        <v>15</v>
      </c>
      <c r="C6" t="s">
        <v>40</v>
      </c>
      <c r="D6">
        <v>91</v>
      </c>
      <c r="E6">
        <v>0</v>
      </c>
      <c r="G6" t="s">
        <v>23</v>
      </c>
      <c r="I6">
        <v>4</v>
      </c>
      <c r="M6" t="s">
        <v>35</v>
      </c>
      <c r="O6">
        <v>4</v>
      </c>
      <c r="Q6" t="s">
        <v>46</v>
      </c>
      <c r="R6">
        <v>2</v>
      </c>
      <c r="T6" t="s">
        <v>57</v>
      </c>
      <c r="U6">
        <v>1</v>
      </c>
    </row>
    <row r="7" spans="1:24" x14ac:dyDescent="0.3">
      <c r="A7" t="s">
        <v>17</v>
      </c>
      <c r="B7" t="s">
        <v>15</v>
      </c>
      <c r="C7" t="s">
        <v>41</v>
      </c>
      <c r="D7">
        <v>50</v>
      </c>
      <c r="E7">
        <v>1</v>
      </c>
      <c r="G7" t="s">
        <v>24</v>
      </c>
      <c r="I7">
        <v>3</v>
      </c>
      <c r="M7" t="s">
        <v>36</v>
      </c>
      <c r="O7">
        <v>2</v>
      </c>
      <c r="Q7" t="s">
        <v>47</v>
      </c>
      <c r="R7">
        <v>6</v>
      </c>
      <c r="T7" t="s">
        <v>58</v>
      </c>
      <c r="U7">
        <v>4</v>
      </c>
    </row>
    <row r="8" spans="1:24" x14ac:dyDescent="0.3">
      <c r="A8" t="s">
        <v>17</v>
      </c>
      <c r="B8" t="s">
        <v>15</v>
      </c>
      <c r="C8" t="s">
        <v>39</v>
      </c>
      <c r="D8">
        <v>65</v>
      </c>
      <c r="E8">
        <v>0</v>
      </c>
    </row>
    <row r="9" spans="1:24" x14ac:dyDescent="0.3">
      <c r="A9" t="s">
        <v>18</v>
      </c>
      <c r="B9" t="s">
        <v>16</v>
      </c>
      <c r="C9" t="s">
        <v>40</v>
      </c>
      <c r="D9">
        <v>70</v>
      </c>
      <c r="E9">
        <v>1</v>
      </c>
      <c r="G9" t="s">
        <v>25</v>
      </c>
      <c r="M9" t="s">
        <v>37</v>
      </c>
      <c r="Q9" t="s">
        <v>39</v>
      </c>
      <c r="T9" t="s">
        <v>59</v>
      </c>
    </row>
    <row r="10" spans="1:24" x14ac:dyDescent="0.3">
      <c r="A10" t="s">
        <v>18</v>
      </c>
      <c r="B10" t="s">
        <v>16</v>
      </c>
      <c r="C10" t="s">
        <v>41</v>
      </c>
      <c r="D10">
        <v>60</v>
      </c>
      <c r="E10">
        <v>0</v>
      </c>
      <c r="G10" t="s">
        <v>26</v>
      </c>
      <c r="I10">
        <f>I2/I1</f>
        <v>0.16666666666666666</v>
      </c>
      <c r="M10" t="s">
        <v>26</v>
      </c>
      <c r="O10">
        <f>O2/O1</f>
        <v>0.14285714285714285</v>
      </c>
      <c r="Q10" t="s">
        <v>49</v>
      </c>
      <c r="R10">
        <f>R2/R1</f>
        <v>0.6</v>
      </c>
      <c r="T10" t="s">
        <v>49</v>
      </c>
      <c r="U10">
        <f>5/8</f>
        <v>0.625</v>
      </c>
    </row>
    <row r="11" spans="1:24" x14ac:dyDescent="0.3">
      <c r="A11" t="s">
        <v>17</v>
      </c>
      <c r="B11" t="s">
        <v>16</v>
      </c>
      <c r="C11" t="s">
        <v>39</v>
      </c>
      <c r="D11">
        <v>50</v>
      </c>
      <c r="E11">
        <v>1</v>
      </c>
      <c r="G11" t="s">
        <v>27</v>
      </c>
      <c r="I11">
        <f>I3/I1</f>
        <v>0.83333333333333337</v>
      </c>
      <c r="M11" t="s">
        <v>27</v>
      </c>
      <c r="O11">
        <f>O3/O1</f>
        <v>0.8571428571428571</v>
      </c>
      <c r="Q11" t="s">
        <v>48</v>
      </c>
      <c r="R11">
        <f>R3/R1</f>
        <v>0.4</v>
      </c>
      <c r="T11" t="s">
        <v>48</v>
      </c>
      <c r="U11">
        <f>3/8</f>
        <v>0.375</v>
      </c>
    </row>
    <row r="12" spans="1:24" x14ac:dyDescent="0.3">
      <c r="A12" t="s">
        <v>18</v>
      </c>
      <c r="B12" t="s">
        <v>15</v>
      </c>
      <c r="C12" t="s">
        <v>39</v>
      </c>
      <c r="D12">
        <v>55</v>
      </c>
      <c r="E12">
        <v>1</v>
      </c>
      <c r="G12" t="s">
        <v>28</v>
      </c>
      <c r="I12">
        <f>1-(I10^2+I11^2)</f>
        <v>0.27777777777777768</v>
      </c>
      <c r="J12" t="str">
        <f ca="1">_xlfn.FORMULATEXT(I12)</f>
        <v>=1-(I10^2+I11^2)</v>
      </c>
      <c r="M12" t="s">
        <v>28</v>
      </c>
      <c r="O12">
        <f>1-(O10^2+O11^2)</f>
        <v>0.24489795918367352</v>
      </c>
      <c r="Q12" t="s">
        <v>28</v>
      </c>
      <c r="R12">
        <f>1-(R10^2+R11^2)</f>
        <v>0.48</v>
      </c>
      <c r="T12" t="s">
        <v>28</v>
      </c>
      <c r="U12">
        <f>1-U10^2-U11^2</f>
        <v>0.46875</v>
      </c>
    </row>
    <row r="13" spans="1:24" x14ac:dyDescent="0.3">
      <c r="A13" t="s">
        <v>17</v>
      </c>
      <c r="B13" t="s">
        <v>15</v>
      </c>
      <c r="C13" t="s">
        <v>41</v>
      </c>
      <c r="D13">
        <v>65</v>
      </c>
      <c r="E13">
        <v>1</v>
      </c>
    </row>
    <row r="14" spans="1:24" x14ac:dyDescent="0.3">
      <c r="A14" t="s">
        <v>18</v>
      </c>
      <c r="B14" t="s">
        <v>16</v>
      </c>
      <c r="C14" t="s">
        <v>40</v>
      </c>
      <c r="D14">
        <v>80</v>
      </c>
      <c r="E14">
        <v>0</v>
      </c>
      <c r="G14" t="s">
        <v>29</v>
      </c>
      <c r="M14" t="s">
        <v>38</v>
      </c>
      <c r="Q14" t="s">
        <v>50</v>
      </c>
      <c r="T14" t="s">
        <v>59</v>
      </c>
    </row>
    <row r="15" spans="1:24" x14ac:dyDescent="0.3">
      <c r="G15" t="s">
        <v>26</v>
      </c>
      <c r="I15">
        <f>I6/I5</f>
        <v>0.5714285714285714</v>
      </c>
      <c r="M15" t="s">
        <v>26</v>
      </c>
      <c r="O15">
        <f>O6/O5</f>
        <v>0.66666666666666663</v>
      </c>
      <c r="Q15" t="s">
        <v>49</v>
      </c>
      <c r="R15">
        <f>R6/R5</f>
        <v>0.25</v>
      </c>
      <c r="T15" t="s">
        <v>49</v>
      </c>
      <c r="U15">
        <f>1/5</f>
        <v>0.2</v>
      </c>
    </row>
    <row r="16" spans="1:24" x14ac:dyDescent="0.3">
      <c r="A16" t="s">
        <v>52</v>
      </c>
      <c r="G16" t="s">
        <v>27</v>
      </c>
      <c r="I16">
        <f>I7/I5</f>
        <v>0.42857142857142855</v>
      </c>
      <c r="M16" t="s">
        <v>27</v>
      </c>
      <c r="O16">
        <f>O7/O5</f>
        <v>0.33333333333333331</v>
      </c>
      <c r="Q16" t="s">
        <v>48</v>
      </c>
      <c r="R16">
        <f>R7/R5</f>
        <v>0.75</v>
      </c>
      <c r="T16" t="s">
        <v>48</v>
      </c>
      <c r="U16">
        <f>4/5</f>
        <v>0.8</v>
      </c>
    </row>
    <row r="17" spans="1:21" x14ac:dyDescent="0.3">
      <c r="A17" s="1">
        <f>1-(5/13)^2-(8/13)^2</f>
        <v>0.47337278106508873</v>
      </c>
      <c r="G17" t="s">
        <v>28</v>
      </c>
      <c r="I17">
        <f>1-(I15^2+I16^2)</f>
        <v>0.48979591836734704</v>
      </c>
      <c r="M17" t="s">
        <v>28</v>
      </c>
      <c r="O17">
        <f>1-(O15^2+O16^2)</f>
        <v>0.44444444444444442</v>
      </c>
      <c r="Q17" t="s">
        <v>28</v>
      </c>
      <c r="R17">
        <f>1-(R15^2+R16^2)</f>
        <v>0.375</v>
      </c>
      <c r="T17" t="s">
        <v>28</v>
      </c>
      <c r="U17">
        <f>1-0.2^2-0.4^2</f>
        <v>0.79999999999999993</v>
      </c>
    </row>
    <row r="19" spans="1:21" x14ac:dyDescent="0.3">
      <c r="G19" t="s">
        <v>30</v>
      </c>
      <c r="I19" s="1">
        <f>I12*6/13+I17*7/13</f>
        <v>0.39194139194139199</v>
      </c>
      <c r="J19" t="str">
        <f ca="1">_xlfn.FORMULATEXT(I19)</f>
        <v>=I12*6/13+I17*7/13</v>
      </c>
      <c r="M19" t="s">
        <v>30</v>
      </c>
      <c r="O19" s="1">
        <f>O12*O1/13+O17*O5/13</f>
        <v>0.33699633699633702</v>
      </c>
      <c r="Q19" t="s">
        <v>51</v>
      </c>
      <c r="R19" s="1">
        <f>R12*R1/13+R17*R5/13</f>
        <v>0.41538461538461535</v>
      </c>
      <c r="U19" s="1">
        <f>U12*8/13+U17*5/13</f>
        <v>0.59615384615384603</v>
      </c>
    </row>
    <row r="22" spans="1:21" x14ac:dyDescent="0.3">
      <c r="G22" t="s">
        <v>25</v>
      </c>
      <c r="M22" t="s">
        <v>37</v>
      </c>
    </row>
    <row r="23" spans="1:21" x14ac:dyDescent="0.3">
      <c r="G23" t="s">
        <v>26</v>
      </c>
      <c r="I23">
        <v>0.16666666666666666</v>
      </c>
      <c r="M23" t="s">
        <v>26</v>
      </c>
      <c r="O23">
        <v>0.14285714285714285</v>
      </c>
    </row>
    <row r="24" spans="1:21" x14ac:dyDescent="0.3">
      <c r="G24" t="s">
        <v>27</v>
      </c>
      <c r="I24">
        <v>0.83333333333333337</v>
      </c>
      <c r="M24" t="s">
        <v>27</v>
      </c>
      <c r="O24">
        <v>0.8571428571428571</v>
      </c>
    </row>
    <row r="25" spans="1:21" x14ac:dyDescent="0.3">
      <c r="G25" t="s">
        <v>61</v>
      </c>
      <c r="I25">
        <f>-(I23*LOG(I23,2)+I24*LOG(I24,2))</f>
        <v>0.65002242164835411</v>
      </c>
      <c r="J25" t="str">
        <f ca="1">_xlfn.FORMULATEXT(I25)</f>
        <v>=-(I23*LOG(I23,2)+I24*LOG(I24,2))</v>
      </c>
      <c r="M25" t="s">
        <v>61</v>
      </c>
      <c r="O25">
        <f>-(O23*LOG(O23,2)+O24*LOG(O24,2))</f>
        <v>0.59167277858232747</v>
      </c>
    </row>
    <row r="27" spans="1:21" x14ac:dyDescent="0.3">
      <c r="G27" t="s">
        <v>29</v>
      </c>
      <c r="M27" t="s">
        <v>38</v>
      </c>
    </row>
    <row r="28" spans="1:21" x14ac:dyDescent="0.3">
      <c r="G28" t="s">
        <v>26</v>
      </c>
      <c r="I28">
        <v>0.5714285714285714</v>
      </c>
      <c r="M28" t="s">
        <v>26</v>
      </c>
      <c r="O28">
        <v>0.66666666666666663</v>
      </c>
    </row>
    <row r="29" spans="1:21" x14ac:dyDescent="0.3">
      <c r="G29" t="s">
        <v>27</v>
      </c>
      <c r="I29">
        <v>0.42857142857142855</v>
      </c>
      <c r="M29" t="s">
        <v>27</v>
      </c>
      <c r="O29">
        <v>0.33333333333333331</v>
      </c>
    </row>
    <row r="30" spans="1:21" x14ac:dyDescent="0.3">
      <c r="G30" t="s">
        <v>61</v>
      </c>
      <c r="I30">
        <f>-(I28*LOG(I28,2) + I29*LOG(I29,2))</f>
        <v>0.98522813603425163</v>
      </c>
      <c r="M30" t="s">
        <v>61</v>
      </c>
      <c r="O30">
        <f>-(O28*LOG(O28,2)+O29*LOG(O29,2))</f>
        <v>0.91829583405448956</v>
      </c>
    </row>
    <row r="32" spans="1:21" x14ac:dyDescent="0.3">
      <c r="G32" t="s">
        <v>62</v>
      </c>
      <c r="I32">
        <f>I25*6/13 + I30*7/13</f>
        <v>0.83051780631768357</v>
      </c>
      <c r="M32" t="s">
        <v>62</v>
      </c>
      <c r="O32">
        <f>O25*7/13+O30*6/13</f>
        <v>0.74242188110794083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ContinuousResponse</vt:lpstr>
      <vt:lpstr>CategoricalResponse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2025-12-15T11:29:47Z</dcterms:created>
  <dcterms:modified xsi:type="dcterms:W3CDTF">2025-12-17T06:11:16Z</dcterms:modified>
</cp:coreProperties>
</file>